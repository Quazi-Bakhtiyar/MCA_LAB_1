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MU - MCA - I - Labs\W1A3\"/>
    </mc:Choice>
  </mc:AlternateContent>
  <xr:revisionPtr revIDLastSave="0" documentId="13_ncr:1_{F2AC551A-DA03-4EF3-A4A2-5D898F0E4C32}" xr6:coauthVersionLast="47" xr6:coauthVersionMax="47" xr10:uidLastSave="{00000000-0000-0000-0000-000000000000}"/>
  <bookViews>
    <workbookView xWindow="-120" yWindow="-120" windowWidth="29040" windowHeight="15720" xr2:uid="{51CB23DE-6B88-4A44-AD78-224E4FF43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3" i="1" l="1"/>
  <c r="B12" i="1"/>
  <c r="D12" i="1"/>
  <c r="D8" i="1"/>
  <c r="B9" i="1"/>
  <c r="B8" i="1"/>
  <c r="D10" i="1"/>
  <c r="D11" i="1"/>
  <c r="D9" i="1"/>
  <c r="B11" i="1"/>
  <c r="B10" i="1"/>
</calcChain>
</file>

<file path=xl/sharedStrings.xml><?xml version="1.0" encoding="utf-8"?>
<sst xmlns="http://schemas.openxmlformats.org/spreadsheetml/2006/main" count="22" uniqueCount="21">
  <si>
    <t>SALARY ADVICE FOR MARCH 2016</t>
  </si>
  <si>
    <t>EMPLOYEE</t>
  </si>
  <si>
    <t>T MARONGO</t>
  </si>
  <si>
    <t>DATE</t>
  </si>
  <si>
    <t>BASIC SALARY p.a.</t>
  </si>
  <si>
    <t>STAFF NO</t>
  </si>
  <si>
    <t>NEXT PAY DATE</t>
  </si>
  <si>
    <t>INCOME</t>
  </si>
  <si>
    <t>AMOUNT</t>
  </si>
  <si>
    <t>DEDUCTIONS</t>
  </si>
  <si>
    <t>Basic Salary</t>
  </si>
  <si>
    <t>Pension @8%</t>
  </si>
  <si>
    <t>Housing Subsidy</t>
  </si>
  <si>
    <t>P.A.Y.E.</t>
  </si>
  <si>
    <t>Vehicle Allowance</t>
  </si>
  <si>
    <t>U.I.F.</t>
  </si>
  <si>
    <t>Medical Aid</t>
  </si>
  <si>
    <t>Bond Repayment</t>
  </si>
  <si>
    <t>Gross Income</t>
  </si>
  <si>
    <t>Total Deductions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</si>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</sst>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417D-D563-45DD-8907-EB39BA9C959E}">
  <dimension ref="A1:E20"/>
  <sheetViews>
    <sheetView tabSelected="1" zoomScaleNormal="100" workbookViewId="0">
      <selection activeCell="C17" sqref="C17"/>
    </sheetView>
  </sheetViews>
  <sheetFormatPr defaultRowHeight="15" x14ac:dyDescent="0.25"/>
  <cols>
    <col min="1" max="4" width="32.7109375" customWidth="1"/>
  </cols>
  <sheetData>
    <row r="1" spans="1:5" ht="18.75" x14ac:dyDescent="0.25">
      <c r="A1" s="9" t="s">
        <v>0</v>
      </c>
      <c r="B1" s="9"/>
      <c r="C1" s="9"/>
      <c r="D1" s="9"/>
      <c r="E1" s="3"/>
    </row>
    <row r="2" spans="1:5" x14ac:dyDescent="0.25">
      <c r="A2" s="2"/>
      <c r="B2" s="2"/>
      <c r="C2" s="2"/>
      <c r="D2" s="2"/>
      <c r="E2" s="3"/>
    </row>
    <row r="3" spans="1:5" x14ac:dyDescent="0.25">
      <c r="A3" s="2" t="s">
        <v>1</v>
      </c>
      <c r="B3" s="2" t="s">
        <v>2</v>
      </c>
      <c r="C3" s="2" t="s">
        <v>3</v>
      </c>
      <c r="D3" s="4">
        <v>42460</v>
      </c>
      <c r="E3" s="3"/>
    </row>
    <row r="4" spans="1:5" x14ac:dyDescent="0.25">
      <c r="A4" s="2" t="s">
        <v>4</v>
      </c>
      <c r="B4" s="2">
        <v>31200</v>
      </c>
      <c r="C4" s="2" t="s">
        <v>5</v>
      </c>
      <c r="D4" s="2">
        <v>4</v>
      </c>
      <c r="E4" s="3"/>
    </row>
    <row r="5" spans="1:5" x14ac:dyDescent="0.25">
      <c r="A5" s="2"/>
      <c r="B5" s="2"/>
      <c r="C5" s="2" t="s">
        <v>6</v>
      </c>
      <c r="D5" s="4">
        <v>42490</v>
      </c>
      <c r="E5" s="3"/>
    </row>
    <row r="6" spans="1:5" x14ac:dyDescent="0.25">
      <c r="A6" s="2"/>
      <c r="B6" s="2"/>
      <c r="C6" s="2"/>
      <c r="D6" s="4"/>
      <c r="E6" s="3"/>
    </row>
    <row r="7" spans="1:5" x14ac:dyDescent="0.25">
      <c r="A7" s="5" t="s">
        <v>7</v>
      </c>
      <c r="B7" s="5" t="s">
        <v>8</v>
      </c>
      <c r="C7" s="5" t="s">
        <v>9</v>
      </c>
      <c r="D7" s="5" t="s">
        <v>8</v>
      </c>
      <c r="E7" s="3"/>
    </row>
    <row r="8" spans="1:5" x14ac:dyDescent="0.25">
      <c r="A8" s="6" t="s">
        <v>10</v>
      </c>
      <c r="B8" s="7">
        <f>31200/12</f>
        <v>2600</v>
      </c>
      <c r="C8" s="6" t="s">
        <v>11</v>
      </c>
      <c r="D8" s="7">
        <f>B8*8%</f>
        <v>208</v>
      </c>
      <c r="E8" s="3"/>
    </row>
    <row r="9" spans="1:5" x14ac:dyDescent="0.25">
      <c r="A9" s="6" t="s">
        <v>12</v>
      </c>
      <c r="B9" s="7">
        <f>6000/12</f>
        <v>500</v>
      </c>
      <c r="C9" s="6" t="s">
        <v>13</v>
      </c>
      <c r="D9" s="7">
        <f>636.83</f>
        <v>636.83000000000004</v>
      </c>
      <c r="E9" s="3"/>
    </row>
    <row r="10" spans="1:5" x14ac:dyDescent="0.25">
      <c r="A10" s="6" t="s">
        <v>14</v>
      </c>
      <c r="B10" s="7">
        <f>100</f>
        <v>100</v>
      </c>
      <c r="C10" s="6" t="s">
        <v>15</v>
      </c>
      <c r="D10" s="7">
        <f>(B8+B9)*1%</f>
        <v>31</v>
      </c>
      <c r="E10" s="3"/>
    </row>
    <row r="11" spans="1:5" x14ac:dyDescent="0.25">
      <c r="A11" s="6" t="s">
        <v>16</v>
      </c>
      <c r="B11" s="7">
        <f>70</f>
        <v>70</v>
      </c>
      <c r="C11" s="6" t="s">
        <v>17</v>
      </c>
      <c r="D11" s="7">
        <f>630</f>
        <v>630</v>
      </c>
      <c r="E11" s="3"/>
    </row>
    <row r="12" spans="1:5" x14ac:dyDescent="0.25">
      <c r="A12" s="5" t="s">
        <v>18</v>
      </c>
      <c r="B12" s="8">
        <f>SUM(B8:B11)</f>
        <v>3270</v>
      </c>
      <c r="C12" s="5" t="s">
        <v>19</v>
      </c>
      <c r="D12" s="8">
        <f>SUM(D8:D11)</f>
        <v>1505.83</v>
      </c>
      <c r="E12" s="3"/>
    </row>
    <row r="13" spans="1:5" x14ac:dyDescent="0.25">
      <c r="A13" s="6"/>
      <c r="B13" s="6"/>
      <c r="C13" s="5" t="s">
        <v>20</v>
      </c>
      <c r="D13" s="7">
        <f>B12-D12</f>
        <v>1764.17</v>
      </c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3"/>
      <c r="C15" s="3"/>
      <c r="D15" s="3"/>
      <c r="E15" s="3"/>
    </row>
    <row r="16" spans="1:5" x14ac:dyDescent="0.25">
      <c r="A16" s="3"/>
      <c r="B16" s="3"/>
      <c r="C16" s="3"/>
      <c r="D16" s="3"/>
      <c r="E16" s="3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</sheetData>
  <mergeCells count="1">
    <mergeCell ref="A1:D1"/>
  </mergeCells>
  <pageMargins left="0.7" right="0.7" top="0.75" bottom="0.75" header="0.3" footer="0.3"/>
  <pageSetup paperSize="9" orientation="landscape" r:id="rId1"/>
  <headerFooter>
    <oddFooter>&amp;CAbu Zaid | Computer Applications | Question 3 | GR8589 | 26CAMSAG113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Zaid</dc:creator>
  <cp:lastModifiedBy>CSD</cp:lastModifiedBy>
  <cp:lastPrinted>2026-08-10T14:08:16Z</cp:lastPrinted>
  <dcterms:created xsi:type="dcterms:W3CDTF">2026-08-10T12:58:49Z</dcterms:created>
  <dcterms:modified xsi:type="dcterms:W3CDTF">2026-08-11T04:03:03Z</dcterms:modified>
</cp:coreProperties>
</file>