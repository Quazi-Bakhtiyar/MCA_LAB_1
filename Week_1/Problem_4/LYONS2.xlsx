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MU - MCA - I - Labs\W1A4\"/>
    </mc:Choice>
  </mc:AlternateContent>
  <xr:revisionPtr revIDLastSave="0" documentId="8_{179F3C61-C1D3-40A8-A630-98FC71767987}" xr6:coauthVersionLast="47" xr6:coauthVersionMax="47" xr10:uidLastSave="{00000000-0000-0000-0000-000000000000}"/>
  <bookViews>
    <workbookView xWindow="-108" yWindow="-108" windowWidth="23256" windowHeight="12456" xr2:uid="{A66308C9-9946-46AD-A04F-271C46E1A1E7}"/>
  </bookViews>
  <sheets>
    <sheet name="LYONS2" sheetId="1" r:id="rId1"/>
    <sheet name="Formula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1" l="1"/>
  <c r="F11" i="1"/>
  <c r="E11" i="1"/>
  <c r="D11" i="1"/>
  <c r="G6" i="1"/>
  <c r="F6" i="1"/>
  <c r="D6" i="1"/>
  <c r="C6" i="1"/>
  <c r="G14" i="1"/>
  <c r="F14" i="1"/>
  <c r="C7" i="1"/>
  <c r="C10" i="1"/>
  <c r="D10" i="1" s="1"/>
  <c r="F10" i="1" s="1"/>
  <c r="G10" i="1" s="1"/>
  <c r="C9" i="1"/>
  <c r="D9" i="1" s="1"/>
  <c r="F9" i="1" s="1"/>
  <c r="G9" i="1" s="1"/>
  <c r="C8" i="1"/>
  <c r="D8" i="1" s="1"/>
  <c r="F8" i="1" s="1"/>
  <c r="G8" i="1" s="1"/>
  <c r="D7" i="1"/>
  <c r="F7" i="1" s="1"/>
  <c r="G7" i="1" s="1"/>
  <c r="E14" i="1"/>
  <c r="E13" i="1"/>
  <c r="E12" i="1"/>
  <c r="D14" i="1" l="1"/>
  <c r="D12" i="1"/>
  <c r="D13" i="1"/>
  <c r="F13" i="1" l="1"/>
  <c r="F12" i="1"/>
  <c r="G13" i="1" l="1"/>
  <c r="G12" i="1"/>
</calcChain>
</file>

<file path=xl/sharedStrings.xml><?xml version="1.0" encoding="utf-8"?>
<sst xmlns="http://schemas.openxmlformats.org/spreadsheetml/2006/main" count="61" uniqueCount="60">
  <si>
    <t>LYONS INC–OrangeJUICESales</t>
  </si>
  <si>
    <t>PRODUCT</t>
  </si>
  <si>
    <t>COST PRICE PER LITRE</t>
  </si>
  <si>
    <t>SELLING PRICE</t>
  </si>
  <si>
    <t>LITRES SOLD</t>
  </si>
  <si>
    <t>PROFIT</t>
  </si>
  <si>
    <t>Cascade</t>
  </si>
  <si>
    <t>Quench</t>
  </si>
  <si>
    <t>Xtra</t>
  </si>
  <si>
    <t>Sun Splash</t>
  </si>
  <si>
    <t>House Brand</t>
  </si>
  <si>
    <t>MARKUP %</t>
  </si>
  <si>
    <t>MARKUP PERITEM</t>
  </si>
  <si>
    <t>TOTAL</t>
  </si>
  <si>
    <t>AVERAGE</t>
  </si>
  <si>
    <t>HIGHEST</t>
  </si>
  <si>
    <t>LOWEST</t>
  </si>
  <si>
    <t>Selling Price</t>
  </si>
  <si>
    <t>Total Income</t>
  </si>
  <si>
    <t>Profit</t>
  </si>
  <si>
    <t>TOTAL INCOME</t>
  </si>
  <si>
    <t>FORMULA DESCRIPTION</t>
  </si>
  <si>
    <t>FORMULA USED</t>
  </si>
  <si>
    <t>Markup per Item</t>
  </si>
  <si>
    <t>Total Selling Price</t>
  </si>
  <si>
    <t>Total Litres Sold</t>
  </si>
  <si>
    <t>Total Profit</t>
  </si>
  <si>
    <t>Average Selling Price</t>
  </si>
  <si>
    <t>Average Litres Sold</t>
  </si>
  <si>
    <t>Average Total Income</t>
  </si>
  <si>
    <t>Average Profit</t>
  </si>
  <si>
    <t>Highest Selling Price</t>
  </si>
  <si>
    <t>Highest Litres Sold</t>
  </si>
  <si>
    <t>Highest Total Income</t>
  </si>
  <si>
    <t>Highest Profit</t>
  </si>
  <si>
    <t>Lowest Selling Price</t>
  </si>
  <si>
    <t>Lowest Litres Sold</t>
  </si>
  <si>
    <t>Lowest Total Income</t>
  </si>
  <si>
    <t>Lowest Profit</t>
  </si>
  <si>
    <t>=MIN(G6:G10)</t>
  </si>
  <si>
    <t>=SUM(F6:F10)</t>
  </si>
  <si>
    <t>Formulas Sheet</t>
  </si>
  <si>
    <t>=B6*$B$3</t>
  </si>
  <si>
    <t>=B6+C6</t>
  </si>
  <si>
    <t>=D6*E6</t>
  </si>
  <si>
    <t>=F6-(B6*E6)</t>
  </si>
  <si>
    <t>=SUM(D6:D10)</t>
  </si>
  <si>
    <t>=SUM(E6:E10)</t>
  </si>
  <si>
    <t>=SUM(G6:G10)</t>
  </si>
  <si>
    <t>=AVERAGE(D6:D10)</t>
  </si>
  <si>
    <t>=AVERAGE(E6:E10)</t>
  </si>
  <si>
    <t>=AVERAGE(F6:F10)</t>
  </si>
  <si>
    <t>=AVERAGE(G6:G10)</t>
  </si>
  <si>
    <t>=MAX(D6:D10)</t>
  </si>
  <si>
    <t>=MAX(E6:E10)</t>
  </si>
  <si>
    <t>=MAX(F6:F10)</t>
  </si>
  <si>
    <t>=MAX(G6:G10)</t>
  </si>
  <si>
    <t>=MIN(D6:D10)</t>
  </si>
  <si>
    <t>=MIN(E6:E10)</t>
  </si>
  <si>
    <t>=MIN(F6:F10)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</si>
</sst>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Arial Unicode MS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2" fontId="3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9" fontId="1" fillId="0" borderId="0" xfId="0" applyNumberFormat="1" applyFont="1" applyAlignment="1">
      <alignment horizontal="left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0" fillId="0" borderId="0" xfId="0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5" fillId="0" borderId="0" xfId="0" quotePrefix="1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PRODUCT COST PER UNIT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LYONS2!$B$5</c:f>
              <c:strCache>
                <c:ptCount val="1"/>
                <c:pt idx="0">
                  <c:v>COST PRICE PER LITRE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31E-489F-B7D7-E98FC508BC8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31E-489F-B7D7-E98FC508BC8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31E-489F-B7D7-E98FC508BC80}"/>
              </c:ext>
            </c:extLst>
          </c:dPt>
          <c:dLbls>
            <c:dLbl>
              <c:idx val="0"/>
              <c:layout>
                <c:manualLayout>
                  <c:x val="2.8758456538033168E-2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31E-489F-B7D7-E98FC508BC80}"/>
                </c:ext>
              </c:extLst>
            </c:dLbl>
            <c:dLbl>
              <c:idx val="3"/>
              <c:layout>
                <c:manualLayout>
                  <c:x val="-5.4133565248062669E-2"/>
                  <c:y val="4.532018532506226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31E-489F-B7D7-E98FC508BC80}"/>
                </c:ext>
              </c:extLst>
            </c:dLbl>
            <c:dLbl>
              <c:idx val="4"/>
              <c:layout>
                <c:manualLayout>
                  <c:x val="-6.7666956560078331E-2"/>
                  <c:y val="2.643677477295300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31E-489F-B7D7-E98FC508BC80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LYONS2!$A$6:$A$10</c:f>
              <c:strCache>
                <c:ptCount val="5"/>
                <c:pt idx="0">
                  <c:v>Cascade</c:v>
                </c:pt>
                <c:pt idx="1">
                  <c:v>Quench</c:v>
                </c:pt>
                <c:pt idx="2">
                  <c:v>Xtra</c:v>
                </c:pt>
                <c:pt idx="3">
                  <c:v>Sun Splash</c:v>
                </c:pt>
                <c:pt idx="4">
                  <c:v>House Brand</c:v>
                </c:pt>
              </c:strCache>
            </c:strRef>
          </c:cat>
          <c:val>
            <c:numRef>
              <c:f>LYONS2!$B$6:$B$10</c:f>
              <c:numCache>
                <c:formatCode>0.00</c:formatCode>
                <c:ptCount val="5"/>
                <c:pt idx="0">
                  <c:v>3.75</c:v>
                </c:pt>
                <c:pt idx="1">
                  <c:v>3.65</c:v>
                </c:pt>
                <c:pt idx="2">
                  <c:v>4.25</c:v>
                </c:pt>
                <c:pt idx="3">
                  <c:v>1.5</c:v>
                </c:pt>
                <c:pt idx="4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1E-489F-B7D7-E98FC508BC8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175591</xdr:rowOff>
    </xdr:from>
    <xdr:to>
      <xdr:col>6</xdr:col>
      <xdr:colOff>1146313</xdr:colOff>
      <xdr:row>31</xdr:row>
      <xdr:rowOff>13252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55A2DD-CB3F-858A-01D5-E31EF14744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D8512-C972-44F6-9E82-4DC8C0247BB1}">
  <dimension ref="A1:G14"/>
  <sheetViews>
    <sheetView tabSelected="1" zoomScale="85" zoomScaleNormal="115" workbookViewId="0">
      <selection activeCell="I27" sqref="I27"/>
    </sheetView>
  </sheetViews>
  <sheetFormatPr defaultRowHeight="14.4"/>
  <cols>
    <col min="1" max="1" width="16.77734375" customWidth="1"/>
    <col min="2" max="2" width="19.33203125" customWidth="1"/>
    <col min="3" max="7" width="16.77734375" customWidth="1"/>
  </cols>
  <sheetData>
    <row r="1" spans="1:7">
      <c r="A1" s="4" t="s">
        <v>0</v>
      </c>
      <c r="B1" s="5"/>
      <c r="C1" s="5"/>
      <c r="D1" s="5"/>
      <c r="E1" s="5"/>
      <c r="F1" s="5"/>
      <c r="G1" s="5"/>
    </row>
    <row r="2" spans="1:7">
      <c r="A2" s="2"/>
      <c r="B2" s="1"/>
      <c r="C2" s="1"/>
      <c r="D2" s="1"/>
      <c r="E2" s="1"/>
      <c r="F2" s="1"/>
      <c r="G2" s="1"/>
    </row>
    <row r="3" spans="1:7">
      <c r="A3" s="15" t="s">
        <v>11</v>
      </c>
      <c r="B3" s="16">
        <v>0.35</v>
      </c>
    </row>
    <row r="4" spans="1:7">
      <c r="A4" s="2"/>
      <c r="B4" s="3"/>
    </row>
    <row r="5" spans="1:7">
      <c r="A5" s="6" t="s">
        <v>1</v>
      </c>
      <c r="B5" s="6" t="s">
        <v>2</v>
      </c>
      <c r="C5" s="6" t="s">
        <v>12</v>
      </c>
      <c r="D5" s="6" t="s">
        <v>3</v>
      </c>
      <c r="E5" s="6" t="s">
        <v>4</v>
      </c>
      <c r="F5" s="7" t="s">
        <v>20</v>
      </c>
      <c r="G5" s="6" t="s">
        <v>5</v>
      </c>
    </row>
    <row r="6" spans="1:7">
      <c r="A6" s="8" t="s">
        <v>6</v>
      </c>
      <c r="B6" s="9">
        <v>3.75</v>
      </c>
      <c r="C6" s="9">
        <f>B6*$B$3</f>
        <v>1.3125</v>
      </c>
      <c r="D6" s="9">
        <f>B6+C6</f>
        <v>5.0625</v>
      </c>
      <c r="E6" s="13">
        <v>234</v>
      </c>
      <c r="F6" s="9">
        <f>D6*E6</f>
        <v>1184.625</v>
      </c>
      <c r="G6" s="9">
        <f>F6-(B6*E6)</f>
        <v>307.125</v>
      </c>
    </row>
    <row r="7" spans="1:7">
      <c r="A7" s="8" t="s">
        <v>7</v>
      </c>
      <c r="B7" s="9">
        <v>3.65</v>
      </c>
      <c r="C7" s="9">
        <f>B7*$B$3</f>
        <v>1.2774999999999999</v>
      </c>
      <c r="D7" s="9">
        <f>B7+C7</f>
        <v>4.9275000000000002</v>
      </c>
      <c r="E7" s="13">
        <v>345</v>
      </c>
      <c r="F7" s="9">
        <f>D7*E7</f>
        <v>1699.9875000000002</v>
      </c>
      <c r="G7" s="9">
        <f t="shared" ref="G7:G10" si="0">F7-(B7*E7)</f>
        <v>440.73750000000018</v>
      </c>
    </row>
    <row r="8" spans="1:7">
      <c r="A8" s="8" t="s">
        <v>8</v>
      </c>
      <c r="B8" s="9">
        <v>4.25</v>
      </c>
      <c r="C8" s="9">
        <f>B8*$B$3</f>
        <v>1.4874999999999998</v>
      </c>
      <c r="D8" s="9">
        <f>B8+C8</f>
        <v>5.7374999999999998</v>
      </c>
      <c r="E8" s="13">
        <v>456</v>
      </c>
      <c r="F8" s="9">
        <f t="shared" ref="F8:F10" si="1">D8*E8</f>
        <v>2616.2999999999997</v>
      </c>
      <c r="G8" s="9">
        <f t="shared" si="0"/>
        <v>678.29999999999973</v>
      </c>
    </row>
    <row r="9" spans="1:7">
      <c r="A9" s="8" t="s">
        <v>9</v>
      </c>
      <c r="B9" s="9">
        <v>1.5</v>
      </c>
      <c r="C9" s="9">
        <f>B9*$B$3</f>
        <v>0.52499999999999991</v>
      </c>
      <c r="D9" s="9">
        <f>B9+C9</f>
        <v>2.0249999999999999</v>
      </c>
      <c r="E9" s="13">
        <v>123</v>
      </c>
      <c r="F9" s="9">
        <f t="shared" si="1"/>
        <v>249.07499999999999</v>
      </c>
      <c r="G9" s="9">
        <f t="shared" si="0"/>
        <v>64.574999999999989</v>
      </c>
    </row>
    <row r="10" spans="1:7">
      <c r="A10" s="8" t="s">
        <v>10</v>
      </c>
      <c r="B10" s="9">
        <v>1.5</v>
      </c>
      <c r="C10" s="9">
        <f>B10*$B$3</f>
        <v>0.52499999999999991</v>
      </c>
      <c r="D10" s="9">
        <f>B10+C10</f>
        <v>2.0249999999999999</v>
      </c>
      <c r="E10" s="13">
        <v>245</v>
      </c>
      <c r="F10" s="9">
        <f t="shared" si="1"/>
        <v>496.125</v>
      </c>
      <c r="G10" s="9">
        <f t="shared" si="0"/>
        <v>128.625</v>
      </c>
    </row>
    <row r="11" spans="1:7">
      <c r="A11" s="10" t="s">
        <v>13</v>
      </c>
      <c r="B11" s="11"/>
      <c r="C11" s="9"/>
      <c r="D11" s="12">
        <f>SUM(D6:D10)</f>
        <v>19.777499999999996</v>
      </c>
      <c r="E11" s="14">
        <f>SUM(E6:E10)</f>
        <v>1403</v>
      </c>
      <c r="F11" s="12">
        <f>SUM(F6:F10)</f>
        <v>6246.1125000000002</v>
      </c>
      <c r="G11" s="12">
        <f>SUM(G6:G10)</f>
        <v>1619.3625</v>
      </c>
    </row>
    <row r="12" spans="1:7">
      <c r="A12" s="10" t="s">
        <v>14</v>
      </c>
      <c r="B12" s="11"/>
      <c r="C12" s="9"/>
      <c r="D12" s="12">
        <f>AVERAGE(D6:D10)</f>
        <v>3.9554999999999993</v>
      </c>
      <c r="E12" s="14">
        <f>AVERAGE(E6:E10)</f>
        <v>280.60000000000002</v>
      </c>
      <c r="F12" s="12">
        <f>AVERAGE(F6:F10)</f>
        <v>1249.2225000000001</v>
      </c>
      <c r="G12" s="12">
        <f>AVERAGE(G6:G10)</f>
        <v>323.8725</v>
      </c>
    </row>
    <row r="13" spans="1:7">
      <c r="A13" s="10" t="s">
        <v>15</v>
      </c>
      <c r="B13" s="11"/>
      <c r="C13" s="9"/>
      <c r="D13" s="12">
        <f>MAX(D6:D10)</f>
        <v>5.7374999999999998</v>
      </c>
      <c r="E13" s="14">
        <f>MAX(E6:E10)</f>
        <v>456</v>
      </c>
      <c r="F13" s="12">
        <f>MAX(F6:F10)</f>
        <v>2616.2999999999997</v>
      </c>
      <c r="G13" s="12">
        <f>MAX(G6:G10)</f>
        <v>678.29999999999973</v>
      </c>
    </row>
    <row r="14" spans="1:7">
      <c r="A14" s="10" t="s">
        <v>16</v>
      </c>
      <c r="B14" s="11"/>
      <c r="C14" s="9"/>
      <c r="D14" s="12">
        <f>MIN(D6:D10)</f>
        <v>2.0249999999999999</v>
      </c>
      <c r="E14" s="14">
        <f>MIN(E6:E10)</f>
        <v>123</v>
      </c>
      <c r="F14" s="12">
        <f>MIN(F6:F10)</f>
        <v>249.07499999999999</v>
      </c>
      <c r="G14" s="12">
        <f>MIN(G6:G10)</f>
        <v>64.574999999999989</v>
      </c>
    </row>
  </sheetData>
  <mergeCells count="1">
    <mergeCell ref="A1:G1"/>
  </mergeCells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57F65-4F49-41A7-A126-8F0968BDE34C}">
  <dimension ref="A1:B23"/>
  <sheetViews>
    <sheetView workbookViewId="0">
      <selection activeCell="D13" sqref="D13"/>
    </sheetView>
  </sheetViews>
  <sheetFormatPr defaultRowHeight="14.4"/>
  <cols>
    <col min="1" max="1" width="27.21875" customWidth="1"/>
    <col min="2" max="2" width="27.5546875" style="24" customWidth="1"/>
  </cols>
  <sheetData>
    <row r="1" spans="1:2" ht="23.4">
      <c r="A1" s="18" t="s">
        <v>41</v>
      </c>
      <c r="B1" s="18"/>
    </row>
    <row r="2" spans="1:2" ht="15.6">
      <c r="A2" s="17" t="s">
        <v>21</v>
      </c>
      <c r="B2" s="20" t="s">
        <v>22</v>
      </c>
    </row>
    <row r="3" spans="1:2">
      <c r="A3" s="19" t="s">
        <v>23</v>
      </c>
      <c r="B3" s="21" t="s">
        <v>42</v>
      </c>
    </row>
    <row r="4" spans="1:2">
      <c r="A4" s="19" t="s">
        <v>17</v>
      </c>
      <c r="B4" s="21" t="s">
        <v>43</v>
      </c>
    </row>
    <row r="5" spans="1:2">
      <c r="A5" s="19" t="s">
        <v>18</v>
      </c>
      <c r="B5" s="21" t="s">
        <v>44</v>
      </c>
    </row>
    <row r="6" spans="1:2">
      <c r="A6" s="19" t="s">
        <v>19</v>
      </c>
      <c r="B6" s="21" t="s">
        <v>45</v>
      </c>
    </row>
    <row r="7" spans="1:2">
      <c r="A7" s="19" t="s">
        <v>24</v>
      </c>
      <c r="B7" s="22" t="s">
        <v>46</v>
      </c>
    </row>
    <row r="8" spans="1:2">
      <c r="A8" s="19" t="s">
        <v>25</v>
      </c>
      <c r="B8" s="22" t="s">
        <v>47</v>
      </c>
    </row>
    <row r="9" spans="1:2">
      <c r="A9" s="19" t="s">
        <v>18</v>
      </c>
      <c r="B9" s="22" t="s">
        <v>40</v>
      </c>
    </row>
    <row r="10" spans="1:2">
      <c r="A10" s="19" t="s">
        <v>26</v>
      </c>
      <c r="B10" s="22" t="s">
        <v>48</v>
      </c>
    </row>
    <row r="11" spans="1:2">
      <c r="A11" s="19" t="s">
        <v>27</v>
      </c>
      <c r="B11" s="22" t="s">
        <v>49</v>
      </c>
    </row>
    <row r="12" spans="1:2">
      <c r="A12" s="19" t="s">
        <v>28</v>
      </c>
      <c r="B12" s="21" t="s">
        <v>50</v>
      </c>
    </row>
    <row r="13" spans="1:2">
      <c r="A13" s="19" t="s">
        <v>29</v>
      </c>
      <c r="B13" s="21" t="s">
        <v>51</v>
      </c>
    </row>
    <row r="14" spans="1:2">
      <c r="A14" s="19" t="s">
        <v>30</v>
      </c>
      <c r="B14" s="21" t="s">
        <v>52</v>
      </c>
    </row>
    <row r="15" spans="1:2">
      <c r="A15" s="19" t="s">
        <v>31</v>
      </c>
      <c r="B15" s="21" t="s">
        <v>53</v>
      </c>
    </row>
    <row r="16" spans="1:2">
      <c r="A16" s="19" t="s">
        <v>32</v>
      </c>
      <c r="B16" s="21" t="s">
        <v>54</v>
      </c>
    </row>
    <row r="17" spans="1:2">
      <c r="A17" s="19" t="s">
        <v>33</v>
      </c>
      <c r="B17" s="21" t="s">
        <v>55</v>
      </c>
    </row>
    <row r="18" spans="1:2">
      <c r="A18" s="19" t="s">
        <v>34</v>
      </c>
      <c r="B18" s="21" t="s">
        <v>56</v>
      </c>
    </row>
    <row r="19" spans="1:2">
      <c r="A19" s="19" t="s">
        <v>35</v>
      </c>
      <c r="B19" s="21" t="s">
        <v>57</v>
      </c>
    </row>
    <row r="20" spans="1:2">
      <c r="A20" s="19" t="s">
        <v>36</v>
      </c>
      <c r="B20" s="21" t="s">
        <v>58</v>
      </c>
    </row>
    <row r="21" spans="1:2">
      <c r="A21" s="19" t="s">
        <v>37</v>
      </c>
      <c r="B21" s="21" t="s">
        <v>59</v>
      </c>
    </row>
    <row r="22" spans="1:2">
      <c r="A22" s="19" t="s">
        <v>38</v>
      </c>
      <c r="B22" s="21" t="s">
        <v>39</v>
      </c>
    </row>
    <row r="23" spans="1:2">
      <c r="A23" s="1"/>
      <c r="B23" s="23"/>
    </row>
  </sheetData>
  <mergeCells count="1">
    <mergeCell ref="A1:B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LYONS2</vt:lpstr>
      <vt:lpstr>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CSD</dc:creator>
  <cp:lastModifiedBy>Abu Zaid</cp:lastModifiedBy>
  <cp:lastPrinted>2026-08-11T09:32:38Z</cp:lastPrinted>
  <dcterms:created xsi:type="dcterms:W3CDTF">2026-08-11T06:32:23Z</dcterms:created>
  <dcterms:modified xsi:type="dcterms:W3CDTF">2026-08-11T09:32:59Z</dcterms:modified>
</cp:coreProperties>
</file>